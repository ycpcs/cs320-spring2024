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ygwin64\home\donha\cs320-spring2024\"/>
    </mc:Choice>
  </mc:AlternateContent>
  <xr:revisionPtr revIDLastSave="0" documentId="13_ncr:1_{E61D7D73-8C69-4B0E-AACA-134738172DD0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Calendar-Sp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  <c r="E32" i="1"/>
  <c r="F16" i="1"/>
  <c r="H16" i="1" s="1"/>
  <c r="G36" i="1"/>
  <c r="D4" i="1"/>
  <c r="E4" i="1" s="1"/>
  <c r="F4" i="1" s="1"/>
  <c r="A5" i="1"/>
  <c r="A7" i="1" s="1"/>
  <c r="A9" i="1" s="1"/>
  <c r="A11" i="1" s="1"/>
  <c r="A13" i="1" s="1"/>
  <c r="A15" i="1" s="1"/>
  <c r="A22" i="1" l="1"/>
  <c r="A24" i="1" s="1"/>
  <c r="A26" i="1" s="1"/>
  <c r="A28" i="1" s="1"/>
  <c r="A30" i="1" s="1"/>
  <c r="A32" i="1" s="1"/>
  <c r="A34" i="1" s="1"/>
  <c r="A36" i="1" s="1"/>
  <c r="I21" i="1" l="1"/>
  <c r="H21" i="1"/>
  <c r="G21" i="1"/>
  <c r="F21" i="1"/>
  <c r="E21" i="1"/>
  <c r="D21" i="1"/>
  <c r="C21" i="1"/>
  <c r="A21" i="1"/>
  <c r="D3" i="1" l="1"/>
  <c r="E3" i="1" s="1"/>
  <c r="F3" i="1" s="1"/>
  <c r="G3" i="1" s="1"/>
  <c r="H3" i="1" s="1"/>
  <c r="I3" i="1" s="1"/>
  <c r="C5" i="1" s="1"/>
  <c r="D5" i="1" s="1"/>
  <c r="E5" i="1" l="1"/>
  <c r="F5" i="1" s="1"/>
  <c r="H5" i="1" s="1"/>
  <c r="I5" i="1" s="1"/>
  <c r="A20" i="1"/>
  <c r="C7" i="1" l="1"/>
  <c r="D7" i="1" s="1"/>
  <c r="E7" i="1" l="1"/>
  <c r="F7" i="1" s="1"/>
  <c r="G7" i="1" s="1"/>
  <c r="H7" i="1" s="1"/>
  <c r="I7" i="1" l="1"/>
  <c r="C9" i="1" s="1"/>
  <c r="D9" i="1" l="1"/>
  <c r="E9" i="1" s="1"/>
  <c r="F9" i="1" s="1"/>
  <c r="G9" i="1" s="1"/>
  <c r="H9" i="1" s="1"/>
  <c r="I9" i="1" s="1"/>
  <c r="C11" i="1" s="1"/>
  <c r="D11" i="1" s="1"/>
  <c r="E11" i="1" s="1"/>
  <c r="F11" i="1" s="1"/>
  <c r="G11" i="1" s="1"/>
  <c r="H11" i="1" s="1"/>
  <c r="I11" i="1" s="1"/>
  <c r="C13" i="1" s="1"/>
  <c r="D13" i="1" s="1"/>
  <c r="E13" i="1" s="1"/>
  <c r="F13" i="1" s="1"/>
  <c r="G13" i="1" s="1"/>
  <c r="I13" i="1"/>
  <c r="C15" i="1" s="1"/>
  <c r="D15" i="1" l="1"/>
  <c r="E15" i="1" l="1"/>
  <c r="F15" i="1" l="1"/>
  <c r="G15" i="1" l="1"/>
  <c r="H15" i="1" l="1"/>
  <c r="I15" i="1" l="1"/>
  <c r="C22" i="1" l="1"/>
  <c r="D22" i="1" l="1"/>
  <c r="E22" i="1" s="1"/>
  <c r="F22" i="1" s="1"/>
  <c r="G22" i="1" s="1"/>
  <c r="H22" i="1" s="1"/>
  <c r="I22" i="1" s="1"/>
  <c r="C24" i="1" s="1"/>
  <c r="D24" i="1" s="1"/>
  <c r="E24" i="1" s="1"/>
  <c r="F24" i="1" s="1"/>
  <c r="G24" i="1" s="1"/>
  <c r="H24" i="1" s="1"/>
  <c r="I24" i="1" s="1"/>
  <c r="C26" i="1" s="1"/>
  <c r="D26" i="1" s="1"/>
  <c r="E26" i="1" s="1"/>
  <c r="F26" i="1" s="1"/>
  <c r="H26" i="1" l="1"/>
  <c r="I26" i="1" s="1"/>
  <c r="C28" i="1" s="1"/>
  <c r="E28" i="1" s="1"/>
  <c r="F28" i="1" s="1"/>
  <c r="G28" i="1" s="1"/>
  <c r="H28" i="1" s="1"/>
  <c r="I28" i="1" s="1"/>
  <c r="C30" i="1" s="1"/>
  <c r="D30" i="1" s="1"/>
  <c r="E30" i="1" s="1"/>
  <c r="F30" i="1" s="1"/>
  <c r="G30" i="1" s="1"/>
  <c r="H30" i="1" l="1"/>
  <c r="I30" i="1" s="1"/>
  <c r="C32" i="1" s="1"/>
  <c r="D32" i="1" s="1"/>
  <c r="F32" i="1" s="1"/>
  <c r="G32" i="1" s="1"/>
  <c r="H32" i="1" s="1"/>
  <c r="I32" i="1" s="1"/>
  <c r="C34" i="1" s="1"/>
  <c r="D34" i="1" s="1"/>
  <c r="E34" i="1" s="1"/>
  <c r="F34" i="1" s="1"/>
  <c r="G34" i="1" s="1"/>
  <c r="H34" i="1" s="1"/>
  <c r="I34" i="1" s="1"/>
  <c r="C36" i="1" s="1"/>
  <c r="D36" i="1" s="1"/>
  <c r="E36" i="1" s="1"/>
  <c r="H36" i="1" s="1"/>
  <c r="I36" i="1" s="1"/>
  <c r="C38" i="1" s="1"/>
  <c r="D38" i="1" s="1"/>
  <c r="E38" i="1" s="1"/>
  <c r="F38" i="1" s="1"/>
  <c r="G38" i="1" s="1"/>
  <c r="H38" i="1" s="1"/>
  <c r="I38" i="1" s="1"/>
</calcChain>
</file>

<file path=xl/sharedStrings.xml><?xml version="1.0" encoding="utf-8"?>
<sst xmlns="http://schemas.openxmlformats.org/spreadsheetml/2006/main" count="93" uniqueCount="82">
  <si>
    <t>Monday</t>
  </si>
  <si>
    <t>Tuesday</t>
  </si>
  <si>
    <t>Wednesday</t>
  </si>
  <si>
    <t>Thursday</t>
  </si>
  <si>
    <t>Friday</t>
  </si>
  <si>
    <t>May</t>
  </si>
  <si>
    <t>Team Session
(in class)</t>
  </si>
  <si>
    <t>SEMESTER
BREAK</t>
  </si>
  <si>
    <t>Sunday</t>
  </si>
  <si>
    <t>Saturday</t>
  </si>
  <si>
    <t>January</t>
  </si>
  <si>
    <t>February</t>
  </si>
  <si>
    <t>March</t>
  </si>
  <si>
    <t>April</t>
  </si>
  <si>
    <t>A03: Team MS1
Minimal Working System</t>
  </si>
  <si>
    <t>BREAK</t>
  </si>
  <si>
    <t>Individual Project Milestone</t>
  </si>
  <si>
    <t>Team Project
Milestone</t>
  </si>
  <si>
    <t>Weeks</t>
  </si>
  <si>
    <t>Legend</t>
  </si>
  <si>
    <t>SQL/JDBC/ORM Review &amp; Labs
(in class)</t>
  </si>
  <si>
    <t>A03: Team MS3
75% Working System
(w/SQL DB)</t>
  </si>
  <si>
    <t>A04: Individual MS1 Baseline Prototype</t>
  </si>
  <si>
    <t>A04: Individual MS2
50% Progresss</t>
  </si>
  <si>
    <t>A04: Individual MS3 Final Project Demo</t>
  </si>
  <si>
    <t>Final Presentation &amp; Demo</t>
  </si>
  <si>
    <t xml:space="preserve"> </t>
  </si>
  <si>
    <t>Jan / Feb</t>
  </si>
  <si>
    <t>Feb / Mar</t>
  </si>
  <si>
    <t>Take Home Exam Due</t>
  </si>
  <si>
    <t>Team Session
(in class)
(Last Day of Classes)</t>
  </si>
  <si>
    <t>Lecture 8:
Use Cases
(UD: Chapter 9)
Use Case Exercise
(in class)</t>
  </si>
  <si>
    <t>Winter
Break</t>
  </si>
  <si>
    <t>April/Mar</t>
  </si>
  <si>
    <t>May/Apr</t>
  </si>
  <si>
    <t>Intro to Relational Databases, SQL, JDBC, ORM Labs</t>
  </si>
  <si>
    <t>Spring Break</t>
  </si>
  <si>
    <t>A02: Individual Project Proposal due Noon
(Marmoset)</t>
  </si>
  <si>
    <r>
      <t xml:space="preserve">Lecture 13: Relational Databases
Lecture 14: DB Applications, JDBC
</t>
    </r>
    <r>
      <rPr>
        <b/>
        <sz val="9"/>
        <color rgb="FFFF0000"/>
        <rFont val="Calibri"/>
        <family val="2"/>
        <scheme val="minor"/>
      </rPr>
      <t>Lab 4: SQL (assigned)
Lab05: JDBC (assigned)</t>
    </r>
  </si>
  <si>
    <t>A10: Team Project Reflection due
A11: Team Project
Final Self/Peer Evaluations due
both due Noon (Marmoset)</t>
  </si>
  <si>
    <t>Lab 1: HTML &amp; CSS  Resume
due Noon
(Marmoset)</t>
  </si>
  <si>
    <t>Library Example Project
Analysis and
Review</t>
  </si>
  <si>
    <t>FINAL EXAM PERIOD
Section 101:
10:15a to 12:15p
A08: Team Presentation and Demonstration
(in class)</t>
  </si>
  <si>
    <t>FINAL EXAM PERIOD
Section 102:
12:45p to 2:45p
A08: Team Presentation and Demonstration
(in class)</t>
  </si>
  <si>
    <t>A08: Team Report due Noon
(Marmoset)</t>
  </si>
  <si>
    <t>A11: Team Project Midterm
Peer Evals
due Noon
(Marmoset)</t>
  </si>
  <si>
    <t>Individual Lab or Assignment Due</t>
  </si>
  <si>
    <t>Team Project Assignment</t>
  </si>
  <si>
    <t>Prep Exam
due Mon, 1-29-24 before class
-------&gt;
(Marmoset)</t>
  </si>
  <si>
    <r>
      <t xml:space="preserve">Lecture 0: Course Overview
Guest: Dan Palmieri
</t>
    </r>
    <r>
      <rPr>
        <b/>
        <sz val="9"/>
        <color rgb="FFFF0000"/>
        <rFont val="Calibri"/>
        <family val="2"/>
        <scheme val="minor"/>
      </rPr>
      <t>Prep Exam
(assigned)</t>
    </r>
  </si>
  <si>
    <r>
      <t xml:space="preserve">Lecture 0:
SW Enginering Intro 
Calendar, Projects
</t>
    </r>
    <r>
      <rPr>
        <b/>
        <sz val="9"/>
        <color rgb="FFFF0000"/>
        <rFont val="Calibri"/>
        <family val="2"/>
        <scheme val="minor"/>
      </rPr>
      <t xml:space="preserve">Lab 0: Using ChatGPT
(assigned)
</t>
    </r>
    <r>
      <rPr>
        <b/>
        <sz val="9"/>
        <color theme="1"/>
        <rFont val="Calibri"/>
        <family val="2"/>
        <scheme val="minor"/>
      </rPr>
      <t xml:space="preserve">
</t>
    </r>
  </si>
  <si>
    <r>
      <t xml:space="preserve">Lecture 1: OOP &amp; ChatGPT
Lecture 2:
HTML &amp; CSS, ChatGPT, and self-learning
</t>
    </r>
    <r>
      <rPr>
        <b/>
        <sz val="9"/>
        <color rgb="FFFF0000"/>
        <rFont val="Calibri"/>
        <family val="2"/>
        <scheme val="minor"/>
      </rPr>
      <t>Lab 1: HTML/CSS Resume
 (assigned)</t>
    </r>
  </si>
  <si>
    <r>
      <t xml:space="preserve">Lecture 4: Web Applications
</t>
    </r>
    <r>
      <rPr>
        <b/>
        <sz val="9"/>
        <color rgb="FFFF0000"/>
        <rFont val="Calibri"/>
        <family val="2"/>
        <scheme val="minor"/>
      </rPr>
      <t>Lab 2a: Web Applications
(assigned)</t>
    </r>
  </si>
  <si>
    <r>
      <t xml:space="preserve">Project Intros
Lecture 12: Version Control I
(Git)
</t>
    </r>
    <r>
      <rPr>
        <b/>
        <sz val="9"/>
        <color rgb="FFFF0000"/>
        <rFont val="Calibri"/>
        <family val="2"/>
        <scheme val="minor"/>
      </rPr>
      <t>Git Lab: Part I
(assigned)</t>
    </r>
    <r>
      <rPr>
        <b/>
        <sz val="9"/>
        <color theme="1"/>
        <rFont val="Calibri"/>
        <family val="2"/>
        <scheme val="minor"/>
      </rPr>
      <t xml:space="preserve">
</t>
    </r>
    <r>
      <rPr>
        <b/>
        <sz val="9"/>
        <color rgb="FFFF0000"/>
        <rFont val="Calibri"/>
        <family val="2"/>
        <scheme val="minor"/>
      </rPr>
      <t>Lab 0: ChatGPT
due 7:00am
(Marmoset)</t>
    </r>
  </si>
  <si>
    <r>
      <t xml:space="preserve">Review ChatPT and HTML/CSS Labs
Project Intros
</t>
    </r>
    <r>
      <rPr>
        <b/>
        <sz val="9"/>
        <color rgb="FFFF0000"/>
        <rFont val="Calibri"/>
        <family val="2"/>
        <scheme val="minor"/>
      </rPr>
      <t>Git Lab: Part I
due
(in class)</t>
    </r>
  </si>
  <si>
    <t>Lecture 6:
SW Development Processes
(UD: Chapter 2
Lecture 7:
Agile Process
(Scrum Guide)</t>
  </si>
  <si>
    <t xml:space="preserve">Lecture 8:
Requirements
(UD: Chapter 9)
 Requirements Exercise
(in class)
</t>
  </si>
  <si>
    <t>Team Session:
Team Analysis &amp; Design Model
Team Git Set-Up
Team MS1 Prep
(all in-class)</t>
  </si>
  <si>
    <t>Lecture 4: Web
Applications II
Web Applications Labs Review</t>
  </si>
  <si>
    <t>A01: Team Project Proposal due 7:00a, 
Wed, 2-14-24
---------&gt;&gt;&gt;&gt;
(Marmoset)</t>
  </si>
  <si>
    <t xml:space="preserve">
A09: Individual  Report 
due 4-10-24
by 7:00a
-----&gt;&gt;&gt;&gt;&gt;
(Marmoset)</t>
  </si>
  <si>
    <t>A05: Team Final Use Cases
due Noon
(Google Doc)
(Marmoset PDF)</t>
  </si>
  <si>
    <t>A06: Team Domain Analysis and Design
due Noon
(Google Doc)
(Marmoset PDF)</t>
  </si>
  <si>
    <t>Lab 2a: Web Apps Lab02a due
Wed, 2-21-24
for full credit
-------------&gt;&gt;&gt;&gt;
 (after sign-off)
(Marmoset)</t>
  </si>
  <si>
    <t xml:space="preserve">Lab 2a: Web Apps Lab02a due
Mon, 2-19-24
for extra credit
-------------&gt;&gt;&gt;&gt;
 (after sign-off)
(Marmoset)
</t>
  </si>
  <si>
    <t>Team Session:
Textual Analysis &amp; UML
(in class)
A05: Team Draft
Use Cases
due in-class
(Google Doc)</t>
  </si>
  <si>
    <t>Lecture 9:
UML  Diagrams
(UD: Chapter 3)
Lecture 10: OOA
Team Session
Project Use Cases
(in class)</t>
  </si>
  <si>
    <r>
      <t xml:space="preserve">Lecture 11: OO Design, OCP, LSP
Design Principles &amp; Design Patterns
Team Session
Design &amp; UML
</t>
    </r>
    <r>
      <rPr>
        <b/>
        <sz val="9"/>
        <color rgb="FFFF0000"/>
        <rFont val="Calibri"/>
        <family val="2"/>
        <scheme val="minor"/>
      </rPr>
      <t>A06: Problem Domain (assigned)</t>
    </r>
  </si>
  <si>
    <t>Team Session: Final Preparation for Milestone 1
(in-class)</t>
  </si>
  <si>
    <t>Assign06: Team Problem Domain Analysis Submission Review</t>
  </si>
  <si>
    <r>
      <t xml:space="preserve">Lecture  15: ORM, Designing a Persistence Layer
</t>
    </r>
    <r>
      <rPr>
        <b/>
        <sz val="9"/>
        <color rgb="FFFF0000"/>
        <rFont val="Calibri"/>
        <family val="2"/>
        <scheme val="minor"/>
      </rPr>
      <t>Lab 6: ORM
(assigned)
Lab 4: SQL
due by 10:00a
(Marmoset)</t>
    </r>
  </si>
  <si>
    <t>Lab 5: JDBC
due 10:00a
Mon, 3-25-24
-------------&gt;&gt;&gt;&gt;
(Marmoset)</t>
  </si>
  <si>
    <t>A03: Team MS2
50% Progress on Features w/fake data</t>
  </si>
  <si>
    <t>Lab 6: ORM
due  Noon
for 50% EC
(Marmoset)</t>
  </si>
  <si>
    <t>Lab 6: ORM
due  Noon
for 25% EC
(Marmoset)</t>
  </si>
  <si>
    <t>Lab 6: ORM
due  Noon
for full credit
(Marmoset)</t>
  </si>
  <si>
    <t>Lecture 16: Testing
Lecture 17: Quality Assurance</t>
  </si>
  <si>
    <t>DB Testing &amp; General Questions about Lab06</t>
  </si>
  <si>
    <t>ORM Review (Lab06)</t>
  </si>
  <si>
    <r>
      <t xml:space="preserve">Team Session
(in class)
</t>
    </r>
    <r>
      <rPr>
        <b/>
        <sz val="9"/>
        <color rgb="FFFF0000"/>
        <rFont val="Calibri"/>
        <family val="2"/>
        <scheme val="minor"/>
      </rPr>
      <t>Take Home Exam
(due in class)</t>
    </r>
  </si>
  <si>
    <t>CS320: SW Engineering - Spring 2024 Schedule
(as of 4-6-2024, subject to change)</t>
  </si>
  <si>
    <r>
      <t xml:space="preserve">Work Ethic Lecture
</t>
    </r>
    <r>
      <rPr>
        <b/>
        <sz val="9"/>
        <color rgb="FFFF0000"/>
        <rFont val="Calibri"/>
        <family val="2"/>
        <scheme val="minor"/>
      </rPr>
      <t>Take Home Exam
(handed out)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</si>
</sst>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 style="thick">
        <color auto="1"/>
      </diagonal>
    </border>
    <border diagonalUp="1" diagonalDown="1"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 style="thick">
        <color auto="1"/>
      </diagonal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25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3" fillId="7" borderId="36" xfId="0" applyFont="1" applyFill="1" applyBorder="1" applyAlignment="1">
      <alignment horizontal="center" vertical="center" wrapText="1"/>
    </xf>
    <xf numFmtId="0" fontId="5" fillId="7" borderId="37" xfId="0" applyFont="1" applyFill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0" fontId="7" fillId="7" borderId="34" xfId="0" applyFont="1" applyFill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0" fontId="3" fillId="7" borderId="33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6" borderId="39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6" borderId="29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3" fillId="6" borderId="25" xfId="0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2" borderId="11" xfId="0" applyFont="1" applyFill="1" applyBorder="1" applyAlignment="1">
      <alignment horizontal="center" vertical="center" textRotation="90" wrapText="1"/>
    </xf>
    <xf numFmtId="0" fontId="2" fillId="2" borderId="13" xfId="0" applyFont="1" applyFill="1" applyBorder="1" applyAlignment="1">
      <alignment horizontal="center" vertical="center" textRotation="90" wrapText="1"/>
    </xf>
    <xf numFmtId="0" fontId="2" fillId="2" borderId="12" xfId="0" applyFont="1" applyFill="1" applyBorder="1" applyAlignment="1">
      <alignment horizontal="center" vertical="center" textRotation="90" wrapText="1"/>
    </xf>
    <xf numFmtId="0" fontId="1" fillId="0" borderId="19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textRotation="90" wrapText="1"/>
    </xf>
    <xf numFmtId="0" fontId="9" fillId="2" borderId="13" xfId="0" applyFont="1" applyFill="1" applyBorder="1" applyAlignment="1">
      <alignment horizontal="center" vertical="center" textRotation="90" wrapText="1"/>
    </xf>
    <xf numFmtId="0" fontId="1" fillId="2" borderId="19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textRotation="90" wrapText="1"/>
    </xf>
    <xf numFmtId="0" fontId="2" fillId="0" borderId="31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0"/>
  <sheetViews>
    <sheetView tabSelected="1" topLeftCell="A27" zoomScale="110" zoomScaleNormal="110" workbookViewId="0">
      <selection activeCell="I35" sqref="I35"/>
    </sheetView>
  </sheetViews>
  <sheetFormatPr defaultColWidth="9.1328125" defaultRowHeight="14.25" x14ac:dyDescent="0.45"/>
  <cols>
    <col min="1" max="1" width="7" style="2" customWidth="1"/>
    <col min="2" max="2" width="4.265625" style="3" customWidth="1"/>
    <col min="3" max="3" width="12.3984375" style="3" customWidth="1"/>
    <col min="4" max="4" width="13.265625" style="2" customWidth="1"/>
    <col min="5" max="5" width="13.1328125" style="3" customWidth="1"/>
    <col min="6" max="6" width="13.3984375" style="2" customWidth="1"/>
    <col min="7" max="7" width="12.3984375" style="3" customWidth="1"/>
    <col min="8" max="8" width="14.3984375" style="2" customWidth="1"/>
    <col min="9" max="9" width="13" style="3" customWidth="1"/>
    <col min="10" max="12" width="9.1328125" style="3"/>
    <col min="13" max="13" width="13.06640625" style="3" customWidth="1"/>
    <col min="14" max="14" width="14.796875" style="3" customWidth="1"/>
    <col min="15" max="15" width="18.33203125" style="3" customWidth="1"/>
    <col min="16" max="16384" width="9.1328125" style="3"/>
  </cols>
  <sheetData>
    <row r="1" spans="1:18" ht="53.1" customHeight="1" thickTop="1" thickBot="1" x14ac:dyDescent="0.5">
      <c r="A1" s="152" t="s">
        <v>80</v>
      </c>
      <c r="B1" s="153"/>
      <c r="C1" s="153"/>
      <c r="D1" s="153"/>
      <c r="E1" s="153"/>
      <c r="F1" s="153"/>
      <c r="G1" s="153"/>
      <c r="H1" s="153"/>
      <c r="I1" s="154"/>
    </row>
    <row r="2" spans="1:18" s="2" customFormat="1" ht="15" thickTop="1" thickBot="1" x14ac:dyDescent="0.5">
      <c r="A2" s="1" t="s">
        <v>18</v>
      </c>
      <c r="B2" s="1"/>
      <c r="C2" s="1" t="s">
        <v>8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9</v>
      </c>
    </row>
    <row r="3" spans="1:18" ht="15.75" customHeight="1" thickTop="1" x14ac:dyDescent="0.45">
      <c r="A3" s="144">
        <v>15</v>
      </c>
      <c r="B3" s="139" t="s">
        <v>10</v>
      </c>
      <c r="C3" s="66">
        <v>21</v>
      </c>
      <c r="D3" s="64">
        <f>C3 + 1</f>
        <v>22</v>
      </c>
      <c r="E3" s="64">
        <f t="shared" ref="E3:I3" si="0">D3 + 1</f>
        <v>23</v>
      </c>
      <c r="F3" s="67">
        <f t="shared" si="0"/>
        <v>24</v>
      </c>
      <c r="G3" s="4">
        <f t="shared" si="0"/>
        <v>25</v>
      </c>
      <c r="H3" s="4">
        <f t="shared" si="0"/>
        <v>26</v>
      </c>
      <c r="I3" s="5">
        <f t="shared" si="0"/>
        <v>27</v>
      </c>
    </row>
    <row r="4" spans="1:18" ht="75.400000000000006" customHeight="1" thickBot="1" x14ac:dyDescent="0.5">
      <c r="A4" s="148"/>
      <c r="B4" s="156"/>
      <c r="C4" s="68" t="s">
        <v>7</v>
      </c>
      <c r="D4" s="65" t="str">
        <f xml:space="preserve"> C4</f>
        <v>SEMESTER
BREAK</v>
      </c>
      <c r="E4" s="69" t="str">
        <f>D4</f>
        <v>SEMESTER
BREAK</v>
      </c>
      <c r="F4" s="70" t="str">
        <f>E4</f>
        <v>SEMESTER
BREAK</v>
      </c>
      <c r="G4" s="37"/>
      <c r="H4" s="36" t="s">
        <v>49</v>
      </c>
      <c r="I4" s="40"/>
    </row>
    <row r="5" spans="1:18" ht="15" customHeight="1" thickTop="1" x14ac:dyDescent="0.45">
      <c r="A5" s="148">
        <f>A3 - 1</f>
        <v>14</v>
      </c>
      <c r="B5" s="141" t="s">
        <v>27</v>
      </c>
      <c r="C5" s="7">
        <f>I3 + 1</f>
        <v>28</v>
      </c>
      <c r="D5" s="6">
        <f>C5 + 1</f>
        <v>29</v>
      </c>
      <c r="E5" s="6">
        <f>D5 + 1</f>
        <v>30</v>
      </c>
      <c r="F5" s="8">
        <f t="shared" ref="E5:I13" si="1">E5 + 1</f>
        <v>31</v>
      </c>
      <c r="G5" s="79">
        <v>1</v>
      </c>
      <c r="H5" s="39">
        <f t="shared" si="1"/>
        <v>2</v>
      </c>
      <c r="I5" s="46">
        <f>H5 + 1</f>
        <v>3</v>
      </c>
    </row>
    <row r="6" spans="1:18" ht="146.65" customHeight="1" thickBot="1" x14ac:dyDescent="0.5">
      <c r="A6" s="145"/>
      <c r="B6" s="140"/>
      <c r="C6" s="115" t="s">
        <v>48</v>
      </c>
      <c r="D6" s="120" t="s">
        <v>50</v>
      </c>
      <c r="E6" s="56"/>
      <c r="F6" s="116" t="s">
        <v>51</v>
      </c>
      <c r="G6" s="48"/>
      <c r="H6" s="47" t="s">
        <v>53</v>
      </c>
      <c r="I6" s="103"/>
    </row>
    <row r="7" spans="1:18" ht="15.75" customHeight="1" thickTop="1" x14ac:dyDescent="0.45">
      <c r="A7" s="149">
        <f>A5 - 1</f>
        <v>13</v>
      </c>
      <c r="B7" s="136" t="s">
        <v>11</v>
      </c>
      <c r="C7" s="38">
        <f>I5 + 1</f>
        <v>4</v>
      </c>
      <c r="D7" s="39">
        <f>C7 + 1</f>
        <v>5</v>
      </c>
      <c r="E7" s="15">
        <f>D7 + 1</f>
        <v>6</v>
      </c>
      <c r="F7" s="52">
        <f>E7+1</f>
        <v>7</v>
      </c>
      <c r="G7" s="52">
        <f>F7+1</f>
        <v>8</v>
      </c>
      <c r="H7" s="15">
        <f>G7 + 1</f>
        <v>9</v>
      </c>
      <c r="I7" s="51">
        <f>H7+1</f>
        <v>10</v>
      </c>
    </row>
    <row r="8" spans="1:18" ht="99.75" customHeight="1" x14ac:dyDescent="0.45">
      <c r="A8" s="142"/>
      <c r="B8" s="138"/>
      <c r="C8" s="30" t="s">
        <v>40</v>
      </c>
      <c r="D8" s="47" t="s">
        <v>54</v>
      </c>
      <c r="E8" s="10"/>
      <c r="F8" s="12" t="s">
        <v>52</v>
      </c>
      <c r="G8" s="27"/>
      <c r="H8" s="10" t="s">
        <v>58</v>
      </c>
      <c r="I8" s="125"/>
    </row>
    <row r="9" spans="1:18" ht="15.75" customHeight="1" x14ac:dyDescent="0.45">
      <c r="A9" s="142">
        <f>A7 - 1</f>
        <v>12</v>
      </c>
      <c r="B9" s="138"/>
      <c r="C9" s="14">
        <f>I7 + 1</f>
        <v>11</v>
      </c>
      <c r="D9" s="15">
        <f>C9 + 1</f>
        <v>12</v>
      </c>
      <c r="E9" s="15">
        <f t="shared" si="1"/>
        <v>13</v>
      </c>
      <c r="F9" s="15">
        <f t="shared" si="1"/>
        <v>14</v>
      </c>
      <c r="G9" s="12">
        <f t="shared" si="1"/>
        <v>15</v>
      </c>
      <c r="H9" s="12">
        <f t="shared" si="1"/>
        <v>16</v>
      </c>
      <c r="I9" s="16">
        <f t="shared" si="1"/>
        <v>17</v>
      </c>
      <c r="L9" s="109"/>
      <c r="M9" s="109"/>
      <c r="N9" s="109"/>
      <c r="O9" s="109"/>
      <c r="P9" s="109"/>
      <c r="Q9" s="109"/>
      <c r="R9" s="109"/>
    </row>
    <row r="10" spans="1:18" ht="102.75" customHeight="1" x14ac:dyDescent="0.45">
      <c r="A10" s="142"/>
      <c r="B10" s="138"/>
      <c r="C10" s="124" t="s">
        <v>37</v>
      </c>
      <c r="D10" s="10" t="s">
        <v>35</v>
      </c>
      <c r="E10" s="104" t="s">
        <v>59</v>
      </c>
      <c r="F10" s="10" t="s">
        <v>55</v>
      </c>
      <c r="G10" s="11"/>
      <c r="H10" s="10" t="s">
        <v>56</v>
      </c>
      <c r="I10" s="13"/>
      <c r="L10" s="25"/>
      <c r="M10" s="109"/>
      <c r="N10" s="110"/>
      <c r="O10" s="109"/>
      <c r="P10" s="110"/>
      <c r="Q10" s="109"/>
      <c r="R10" s="110"/>
    </row>
    <row r="11" spans="1:18" ht="15" customHeight="1" x14ac:dyDescent="0.45">
      <c r="A11" s="142">
        <f>A9 -1</f>
        <v>11</v>
      </c>
      <c r="B11" s="138"/>
      <c r="C11" s="17">
        <f>I9 + 1</f>
        <v>18</v>
      </c>
      <c r="D11" s="12">
        <f>C11 + 1</f>
        <v>19</v>
      </c>
      <c r="E11" s="12">
        <f t="shared" si="1"/>
        <v>20</v>
      </c>
      <c r="F11" s="12">
        <f t="shared" si="1"/>
        <v>21</v>
      </c>
      <c r="G11" s="12">
        <f t="shared" si="1"/>
        <v>22</v>
      </c>
      <c r="H11" s="12">
        <f t="shared" si="1"/>
        <v>23</v>
      </c>
      <c r="I11" s="16">
        <f t="shared" si="1"/>
        <v>24</v>
      </c>
      <c r="L11" s="109"/>
      <c r="M11" s="109"/>
      <c r="N11" s="109"/>
      <c r="O11" s="109"/>
      <c r="P11" s="109"/>
      <c r="Q11" s="109"/>
      <c r="R11" s="109"/>
    </row>
    <row r="12" spans="1:18" ht="115.5" customHeight="1" thickBot="1" x14ac:dyDescent="0.5">
      <c r="A12" s="142"/>
      <c r="B12" s="138"/>
      <c r="C12" s="30" t="s">
        <v>64</v>
      </c>
      <c r="D12" s="12" t="s">
        <v>31</v>
      </c>
      <c r="E12" s="131" t="s">
        <v>63</v>
      </c>
      <c r="F12" s="44" t="s">
        <v>66</v>
      </c>
      <c r="G12" s="42"/>
      <c r="H12" s="127" t="s">
        <v>65</v>
      </c>
      <c r="I12" s="77"/>
      <c r="L12" s="25"/>
      <c r="M12" s="109"/>
      <c r="N12" s="109"/>
      <c r="O12" s="109"/>
      <c r="P12" s="110"/>
      <c r="Q12" s="109"/>
      <c r="R12" s="110"/>
    </row>
    <row r="13" spans="1:18" ht="15" customHeight="1" thickTop="1" x14ac:dyDescent="0.45">
      <c r="A13" s="142">
        <f xml:space="preserve"> A11 - 1</f>
        <v>10</v>
      </c>
      <c r="B13" s="157" t="s">
        <v>28</v>
      </c>
      <c r="C13" s="17">
        <f>I11 + 1</f>
        <v>25</v>
      </c>
      <c r="D13" s="81">
        <f>C13 + 1</f>
        <v>26</v>
      </c>
      <c r="E13" s="12">
        <f t="shared" ref="E13:G13" si="2">D13 + 1</f>
        <v>27</v>
      </c>
      <c r="F13" s="12">
        <f t="shared" si="2"/>
        <v>28</v>
      </c>
      <c r="G13" s="86">
        <f t="shared" si="2"/>
        <v>29</v>
      </c>
      <c r="H13" s="73">
        <v>1</v>
      </c>
      <c r="I13" s="87">
        <f t="shared" si="1"/>
        <v>2</v>
      </c>
      <c r="L13" s="109"/>
      <c r="M13" s="109"/>
      <c r="N13" s="109"/>
      <c r="O13" s="109"/>
      <c r="P13" s="109"/>
      <c r="Q13" s="109"/>
      <c r="R13" s="111"/>
    </row>
    <row r="14" spans="1:18" ht="100.5" customHeight="1" thickBot="1" x14ac:dyDescent="0.5">
      <c r="A14" s="143"/>
      <c r="B14" s="137"/>
      <c r="C14" s="128" t="s">
        <v>61</v>
      </c>
      <c r="D14" s="122" t="s">
        <v>67</v>
      </c>
      <c r="E14" s="89"/>
      <c r="F14" s="121" t="s">
        <v>22</v>
      </c>
      <c r="G14" s="88" t="s">
        <v>32</v>
      </c>
      <c r="H14" s="83" t="s">
        <v>32</v>
      </c>
      <c r="I14" s="84" t="s">
        <v>32</v>
      </c>
      <c r="L14" s="111"/>
      <c r="M14" s="25"/>
      <c r="N14" s="112"/>
      <c r="O14" s="109"/>
      <c r="P14" s="111"/>
      <c r="Q14" s="109"/>
      <c r="R14" s="111"/>
    </row>
    <row r="15" spans="1:18" ht="15.75" customHeight="1" thickTop="1" x14ac:dyDescent="0.45">
      <c r="A15" s="144">
        <f>A13 - 1</f>
        <v>9</v>
      </c>
      <c r="B15" s="141" t="s">
        <v>12</v>
      </c>
      <c r="C15" s="66">
        <f>I13 + 1</f>
        <v>3</v>
      </c>
      <c r="D15" s="53">
        <f t="shared" ref="D15:I15" si="3">C15 + 1</f>
        <v>4</v>
      </c>
      <c r="E15" s="82">
        <f t="shared" si="3"/>
        <v>5</v>
      </c>
      <c r="F15" s="53">
        <f t="shared" si="3"/>
        <v>6</v>
      </c>
      <c r="G15" s="90">
        <f t="shared" si="3"/>
        <v>7</v>
      </c>
      <c r="H15" s="54">
        <f t="shared" si="3"/>
        <v>8</v>
      </c>
      <c r="I15" s="91">
        <f t="shared" si="3"/>
        <v>9</v>
      </c>
    </row>
    <row r="16" spans="1:18" ht="103.15" customHeight="1" thickBot="1" x14ac:dyDescent="0.5">
      <c r="A16" s="145"/>
      <c r="B16" s="140"/>
      <c r="C16" s="85" t="s">
        <v>32</v>
      </c>
      <c r="D16" s="9" t="s">
        <v>57</v>
      </c>
      <c r="E16" s="63" t="s">
        <v>26</v>
      </c>
      <c r="F16" s="9" t="str">
        <f>D16</f>
        <v>Team Session:
Team Analysis &amp; Design Model
Team Git Set-Up
Team MS1 Prep
(all in-class)</v>
      </c>
      <c r="G16" s="92"/>
      <c r="H16" s="63" t="str">
        <f>F16</f>
        <v>Team Session:
Team Analysis &amp; Design Model
Team Git Set-Up
Team MS1 Prep
(all in-class)</v>
      </c>
      <c r="I16" s="132" t="s">
        <v>62</v>
      </c>
    </row>
    <row r="17" spans="1:18" ht="6.4" customHeight="1" thickTop="1" thickBot="1" x14ac:dyDescent="0.5">
      <c r="B17" s="24"/>
      <c r="C17" s="25"/>
      <c r="D17" s="25"/>
      <c r="E17" s="25"/>
      <c r="F17" s="25"/>
      <c r="G17" s="25"/>
      <c r="H17" s="25"/>
      <c r="I17" s="25"/>
    </row>
    <row r="18" spans="1:18" ht="34.5" customHeight="1" thickTop="1" thickBot="1" x14ac:dyDescent="0.5">
      <c r="B18" s="24"/>
      <c r="C18" s="34" t="s">
        <v>19</v>
      </c>
      <c r="D18" s="72" t="s">
        <v>15</v>
      </c>
      <c r="E18" s="31" t="s">
        <v>46</v>
      </c>
      <c r="F18" s="32" t="s">
        <v>16</v>
      </c>
      <c r="G18" s="119" t="s">
        <v>47</v>
      </c>
      <c r="H18" s="33" t="s">
        <v>17</v>
      </c>
      <c r="I18" s="62" t="s">
        <v>29</v>
      </c>
    </row>
    <row r="19" spans="1:18" s="114" customFormat="1" ht="21.75" thickTop="1" thickBot="1" x14ac:dyDescent="0.5">
      <c r="A19" s="113"/>
      <c r="B19" s="34"/>
      <c r="C19" s="34"/>
      <c r="D19" s="111"/>
      <c r="E19" s="111"/>
      <c r="F19" s="111"/>
      <c r="G19" s="111"/>
      <c r="H19" s="111"/>
      <c r="I19" s="111"/>
    </row>
    <row r="20" spans="1:18" ht="54" customHeight="1" thickTop="1" thickBot="1" x14ac:dyDescent="0.5">
      <c r="A20" s="152" t="str">
        <f>A1</f>
        <v>CS320: SW Engineering - Spring 2024 Schedule
(as of 4-6-2024, subject to change)</v>
      </c>
      <c r="B20" s="153"/>
      <c r="C20" s="153"/>
      <c r="D20" s="153"/>
      <c r="E20" s="153"/>
      <c r="F20" s="153"/>
      <c r="G20" s="153"/>
      <c r="H20" s="153"/>
      <c r="I20" s="154"/>
    </row>
    <row r="21" spans="1:18" s="2" customFormat="1" ht="17.25" customHeight="1" thickTop="1" thickBot="1" x14ac:dyDescent="0.5">
      <c r="A21" s="1" t="str">
        <f>A2</f>
        <v>Weeks</v>
      </c>
      <c r="B21" s="1"/>
      <c r="C21" s="1" t="str">
        <f t="shared" ref="C21:I21" si="4">C2</f>
        <v>Sunday</v>
      </c>
      <c r="D21" s="1" t="str">
        <f t="shared" si="4"/>
        <v>Monday</v>
      </c>
      <c r="E21" s="1" t="str">
        <f t="shared" si="4"/>
        <v>Tuesday</v>
      </c>
      <c r="F21" s="1" t="str">
        <f t="shared" si="4"/>
        <v>Wednesday</v>
      </c>
      <c r="G21" s="1" t="str">
        <f t="shared" si="4"/>
        <v>Thursday</v>
      </c>
      <c r="H21" s="1" t="str">
        <f t="shared" si="4"/>
        <v>Friday</v>
      </c>
      <c r="I21" s="1" t="str">
        <f t="shared" si="4"/>
        <v>Saturday</v>
      </c>
    </row>
    <row r="22" spans="1:18" ht="15.75" customHeight="1" thickTop="1" x14ac:dyDescent="0.45">
      <c r="A22" s="155">
        <f>A15-1</f>
        <v>8</v>
      </c>
      <c r="B22" s="141" t="s">
        <v>12</v>
      </c>
      <c r="C22" s="93">
        <f>I15 + 1</f>
        <v>10</v>
      </c>
      <c r="D22" s="18">
        <f>C22 + 1</f>
        <v>11</v>
      </c>
      <c r="E22" s="18">
        <f t="shared" ref="E22:I22" si="5">D22 + 1</f>
        <v>12</v>
      </c>
      <c r="F22" s="18">
        <f t="shared" si="5"/>
        <v>13</v>
      </c>
      <c r="G22" s="18">
        <f t="shared" si="5"/>
        <v>14</v>
      </c>
      <c r="H22" s="18">
        <f t="shared" si="5"/>
        <v>15</v>
      </c>
      <c r="I22" s="19">
        <f t="shared" si="5"/>
        <v>16</v>
      </c>
      <c r="L22" s="111"/>
      <c r="M22" s="109"/>
      <c r="N22" s="109"/>
      <c r="O22" s="109"/>
      <c r="P22" s="109"/>
      <c r="Q22" s="109"/>
      <c r="R22" s="109"/>
    </row>
    <row r="23" spans="1:18" ht="67.150000000000006" customHeight="1" x14ac:dyDescent="0.45">
      <c r="A23" s="148"/>
      <c r="B23" s="141"/>
      <c r="C23" s="133"/>
      <c r="D23" s="6" t="s">
        <v>69</v>
      </c>
      <c r="E23" s="54"/>
      <c r="F23" s="6" t="s">
        <v>68</v>
      </c>
      <c r="G23" s="6"/>
      <c r="H23" s="22" t="s">
        <v>14</v>
      </c>
      <c r="I23" s="35"/>
      <c r="L23" s="109"/>
      <c r="M23" s="109"/>
      <c r="N23" s="109"/>
      <c r="O23" s="109"/>
      <c r="P23" s="109"/>
      <c r="Q23" s="109"/>
      <c r="R23" s="25"/>
    </row>
    <row r="24" spans="1:18" ht="15" customHeight="1" x14ac:dyDescent="0.45">
      <c r="A24" s="148">
        <f>A22 - 1</f>
        <v>7</v>
      </c>
      <c r="B24" s="141"/>
      <c r="C24" s="7">
        <f>I22 + 1</f>
        <v>17</v>
      </c>
      <c r="D24" s="18">
        <f>C24 + 1</f>
        <v>18</v>
      </c>
      <c r="E24" s="18">
        <f t="shared" ref="E24:I24" si="6">D24 + 1</f>
        <v>19</v>
      </c>
      <c r="F24" s="18">
        <f t="shared" si="6"/>
        <v>20</v>
      </c>
      <c r="G24" s="18">
        <f t="shared" si="6"/>
        <v>21</v>
      </c>
      <c r="H24" s="18">
        <f t="shared" si="6"/>
        <v>22</v>
      </c>
      <c r="I24" s="19">
        <f t="shared" si="6"/>
        <v>23</v>
      </c>
      <c r="L24" s="109"/>
      <c r="M24" s="109"/>
      <c r="N24" s="109"/>
      <c r="O24" s="109"/>
      <c r="P24" s="109"/>
      <c r="Q24" s="109"/>
      <c r="R24" s="109"/>
    </row>
    <row r="25" spans="1:18" ht="124.15" customHeight="1" x14ac:dyDescent="0.45">
      <c r="A25" s="148"/>
      <c r="B25" s="141"/>
      <c r="C25" s="108"/>
      <c r="D25" s="26" t="s">
        <v>23</v>
      </c>
      <c r="E25" s="126"/>
      <c r="F25" s="54" t="s">
        <v>38</v>
      </c>
      <c r="G25" s="126"/>
      <c r="H25" s="134" t="s">
        <v>70</v>
      </c>
      <c r="I25" s="130"/>
      <c r="L25" s="25"/>
      <c r="M25" s="109"/>
      <c r="N25" s="111"/>
      <c r="O25" s="109"/>
      <c r="P25" s="111"/>
      <c r="Q25" s="109"/>
      <c r="R25" s="25"/>
    </row>
    <row r="26" spans="1:18" ht="15" customHeight="1" x14ac:dyDescent="0.45">
      <c r="A26" s="148">
        <f>A24 - 1</f>
        <v>6</v>
      </c>
      <c r="B26" s="141"/>
      <c r="C26" s="7">
        <f>I24 + 1</f>
        <v>24</v>
      </c>
      <c r="D26" s="18">
        <f>C26 + 1</f>
        <v>25</v>
      </c>
      <c r="E26" s="6">
        <f t="shared" ref="E26:G28" si="7">D26 + 1</f>
        <v>26</v>
      </c>
      <c r="F26" s="18">
        <f t="shared" si="7"/>
        <v>27</v>
      </c>
      <c r="G26" s="80">
        <f t="shared" si="7"/>
        <v>28</v>
      </c>
      <c r="H26" s="98">
        <f t="shared" ref="H26" si="8">G26 + 1</f>
        <v>29</v>
      </c>
      <c r="I26" s="86">
        <f t="shared" ref="I26" si="9">H26 + 1</f>
        <v>30</v>
      </c>
      <c r="L26" s="109"/>
      <c r="M26" s="109"/>
      <c r="N26" s="109"/>
      <c r="O26" s="109"/>
      <c r="P26" s="109"/>
      <c r="Q26" s="109"/>
      <c r="R26" s="109"/>
    </row>
    <row r="27" spans="1:18" ht="68.25" customHeight="1" thickBot="1" x14ac:dyDescent="0.5">
      <c r="A27" s="145"/>
      <c r="B27" s="140"/>
      <c r="C27" s="129" t="s">
        <v>71</v>
      </c>
      <c r="D27" s="9" t="s">
        <v>20</v>
      </c>
      <c r="E27" s="54"/>
      <c r="F27" s="23" t="s">
        <v>72</v>
      </c>
      <c r="G27" s="123" t="s">
        <v>45</v>
      </c>
      <c r="H27" s="71" t="s">
        <v>36</v>
      </c>
      <c r="I27" s="107" t="s">
        <v>36</v>
      </c>
      <c r="L27" s="109"/>
      <c r="M27" s="109"/>
      <c r="N27" s="25"/>
      <c r="O27" s="109"/>
      <c r="P27" s="25"/>
      <c r="Q27" s="111"/>
      <c r="R27" s="25"/>
    </row>
    <row r="28" spans="1:18" ht="15" customHeight="1" thickTop="1" x14ac:dyDescent="0.45">
      <c r="A28" s="149">
        <f>A26 -1</f>
        <v>5</v>
      </c>
      <c r="B28" s="136" t="s">
        <v>33</v>
      </c>
      <c r="C28" s="99">
        <f>I26 + 1</f>
        <v>31</v>
      </c>
      <c r="D28" s="100">
        <v>1</v>
      </c>
      <c r="E28" s="39">
        <f t="shared" si="7"/>
        <v>2</v>
      </c>
      <c r="F28" s="52">
        <f>E28 + 1</f>
        <v>3</v>
      </c>
      <c r="G28" s="45">
        <f t="shared" si="7"/>
        <v>4</v>
      </c>
      <c r="H28" s="15">
        <f>G28 + 1</f>
        <v>5</v>
      </c>
      <c r="I28" s="58">
        <f>H28 + 1</f>
        <v>6</v>
      </c>
    </row>
    <row r="29" spans="1:18" ht="51.75" customHeight="1" thickBot="1" x14ac:dyDescent="0.5">
      <c r="A29" s="150"/>
      <c r="B29" s="137"/>
      <c r="C29" s="117" t="s">
        <v>36</v>
      </c>
      <c r="D29" s="101" t="s">
        <v>36</v>
      </c>
      <c r="E29" s="50" t="s">
        <v>73</v>
      </c>
      <c r="F29" s="12" t="s">
        <v>78</v>
      </c>
      <c r="G29" s="50" t="s">
        <v>74</v>
      </c>
      <c r="H29" s="12" t="s">
        <v>77</v>
      </c>
      <c r="I29" s="28"/>
    </row>
    <row r="30" spans="1:18" ht="15.75" customHeight="1" thickTop="1" x14ac:dyDescent="0.45">
      <c r="A30" s="151">
        <f>A28 -1</f>
        <v>4</v>
      </c>
      <c r="B30" s="136" t="s">
        <v>13</v>
      </c>
      <c r="C30" s="59">
        <f>I28 + 1</f>
        <v>7</v>
      </c>
      <c r="D30" s="45">
        <f>C30 + 1</f>
        <v>8</v>
      </c>
      <c r="E30" s="15">
        <f t="shared" ref="E30:I30" si="10">D30 + 1</f>
        <v>9</v>
      </c>
      <c r="F30" s="15">
        <f t="shared" si="10"/>
        <v>10</v>
      </c>
      <c r="G30" s="45">
        <f t="shared" si="10"/>
        <v>11</v>
      </c>
      <c r="H30" s="27">
        <f t="shared" si="10"/>
        <v>12</v>
      </c>
      <c r="I30" s="28">
        <f t="shared" si="10"/>
        <v>13</v>
      </c>
    </row>
    <row r="31" spans="1:18" ht="87.75" customHeight="1" x14ac:dyDescent="0.45">
      <c r="A31" s="142"/>
      <c r="B31" s="138"/>
      <c r="C31" s="30" t="s">
        <v>75</v>
      </c>
      <c r="D31" s="105" t="s">
        <v>24</v>
      </c>
      <c r="E31" s="106" t="s">
        <v>60</v>
      </c>
      <c r="F31" s="12" t="s">
        <v>41</v>
      </c>
      <c r="G31" s="27"/>
      <c r="H31" s="27" t="s">
        <v>6</v>
      </c>
      <c r="I31" s="28"/>
    </row>
    <row r="32" spans="1:18" ht="15" customHeight="1" x14ac:dyDescent="0.45">
      <c r="A32" s="142">
        <f>A30 -1</f>
        <v>3</v>
      </c>
      <c r="B32" s="138"/>
      <c r="C32" s="27">
        <f>I30 + 1</f>
        <v>14</v>
      </c>
      <c r="D32" s="27">
        <f>C32 + 1</f>
        <v>15</v>
      </c>
      <c r="E32" s="12">
        <f>D32 + 1</f>
        <v>16</v>
      </c>
      <c r="F32" s="15">
        <f t="shared" ref="F32:I32" si="11">E32 + 1</f>
        <v>17</v>
      </c>
      <c r="G32" s="27">
        <f t="shared" si="11"/>
        <v>18</v>
      </c>
      <c r="H32" s="27">
        <f t="shared" si="11"/>
        <v>19</v>
      </c>
      <c r="I32" s="28">
        <f t="shared" si="11"/>
        <v>20</v>
      </c>
    </row>
    <row r="33" spans="1:9" ht="43.5" customHeight="1" x14ac:dyDescent="0.45">
      <c r="A33" s="142"/>
      <c r="B33" s="138"/>
      <c r="C33" s="29"/>
      <c r="D33" s="102" t="s">
        <v>76</v>
      </c>
      <c r="E33" s="11"/>
      <c r="F33" s="44" t="s">
        <v>6</v>
      </c>
      <c r="G33" s="78"/>
      <c r="H33" s="12" t="s">
        <v>6</v>
      </c>
      <c r="I33" s="28"/>
    </row>
    <row r="34" spans="1:9" ht="15" customHeight="1" x14ac:dyDescent="0.45">
      <c r="A34" s="142">
        <f>A32 -1</f>
        <v>2</v>
      </c>
      <c r="B34" s="138"/>
      <c r="C34" s="29">
        <f>I32 + 1</f>
        <v>21</v>
      </c>
      <c r="D34" s="27">
        <f>C34 + 1</f>
        <v>22</v>
      </c>
      <c r="E34" s="12">
        <f t="shared" ref="E34:I36" si="12">D34 + 1</f>
        <v>23</v>
      </c>
      <c r="F34" s="12">
        <f t="shared" si="12"/>
        <v>24</v>
      </c>
      <c r="G34" s="12">
        <f t="shared" si="12"/>
        <v>25</v>
      </c>
      <c r="H34" s="12">
        <f t="shared" si="12"/>
        <v>26</v>
      </c>
      <c r="I34" s="16">
        <f t="shared" si="12"/>
        <v>27</v>
      </c>
    </row>
    <row r="35" spans="1:9" ht="63.4" customHeight="1" thickBot="1" x14ac:dyDescent="0.5">
      <c r="A35" s="143"/>
      <c r="B35" s="137"/>
      <c r="C35" s="57"/>
      <c r="D35" s="43" t="s">
        <v>21</v>
      </c>
      <c r="E35" s="42"/>
      <c r="F35" s="44" t="s">
        <v>81</v>
      </c>
      <c r="G35" s="42"/>
      <c r="H35" s="135" t="s">
        <v>79</v>
      </c>
      <c r="I35" s="41"/>
    </row>
    <row r="36" spans="1:9" ht="15" customHeight="1" thickTop="1" x14ac:dyDescent="0.45">
      <c r="A36" s="144">
        <f>A34 -1</f>
        <v>1</v>
      </c>
      <c r="B36" s="139" t="s">
        <v>34</v>
      </c>
      <c r="C36" s="17">
        <f>I34 + 1</f>
        <v>28</v>
      </c>
      <c r="D36" s="12">
        <f>C36 + 1</f>
        <v>29</v>
      </c>
      <c r="E36" s="16">
        <f t="shared" si="12"/>
        <v>30</v>
      </c>
      <c r="F36" s="94">
        <v>1</v>
      </c>
      <c r="G36" s="4">
        <f>F36 + 1</f>
        <v>2</v>
      </c>
      <c r="H36" s="4">
        <f>G36 + 1</f>
        <v>3</v>
      </c>
      <c r="I36" s="5">
        <f t="shared" si="12"/>
        <v>4</v>
      </c>
    </row>
    <row r="37" spans="1:9" ht="53.25" customHeight="1" thickBot="1" x14ac:dyDescent="0.5">
      <c r="A37" s="145"/>
      <c r="B37" s="140"/>
      <c r="C37" s="96"/>
      <c r="D37" s="49" t="s">
        <v>6</v>
      </c>
      <c r="E37" s="97"/>
      <c r="F37" s="95" t="s">
        <v>6</v>
      </c>
      <c r="G37" s="6"/>
      <c r="H37" s="6" t="s">
        <v>30</v>
      </c>
      <c r="I37" s="118" t="s">
        <v>44</v>
      </c>
    </row>
    <row r="38" spans="1:9" ht="15.75" customHeight="1" thickTop="1" x14ac:dyDescent="0.45">
      <c r="A38" s="146" t="s">
        <v>25</v>
      </c>
      <c r="B38" s="141" t="s">
        <v>5</v>
      </c>
      <c r="C38" s="20">
        <f>I36 + 1</f>
        <v>5</v>
      </c>
      <c r="D38" s="18">
        <f t="shared" ref="D38:I38" si="13">C38 + 1</f>
        <v>6</v>
      </c>
      <c r="E38" s="55">
        <f t="shared" si="13"/>
        <v>7</v>
      </c>
      <c r="F38" s="18">
        <f t="shared" si="13"/>
        <v>8</v>
      </c>
      <c r="G38" s="18">
        <f t="shared" si="13"/>
        <v>9</v>
      </c>
      <c r="H38" s="73">
        <f t="shared" si="13"/>
        <v>10</v>
      </c>
      <c r="I38" s="74">
        <f t="shared" si="13"/>
        <v>11</v>
      </c>
    </row>
    <row r="39" spans="1:9" ht="134.1" customHeight="1" thickBot="1" x14ac:dyDescent="0.5">
      <c r="A39" s="147"/>
      <c r="B39" s="140"/>
      <c r="C39" s="60" t="s">
        <v>39</v>
      </c>
      <c r="D39" s="23" t="s">
        <v>42</v>
      </c>
      <c r="E39" s="61"/>
      <c r="F39" s="23" t="s">
        <v>43</v>
      </c>
      <c r="G39" s="21"/>
      <c r="H39" s="75"/>
      <c r="I39" s="76"/>
    </row>
    <row r="40" spans="1:9" ht="14.65" thickTop="1" x14ac:dyDescent="0.45"/>
  </sheetData>
  <mergeCells count="28">
    <mergeCell ref="A1:I1"/>
    <mergeCell ref="A22:A23"/>
    <mergeCell ref="A3:A4"/>
    <mergeCell ref="A5:A6"/>
    <mergeCell ref="A7:A8"/>
    <mergeCell ref="A9:A10"/>
    <mergeCell ref="A11:A12"/>
    <mergeCell ref="A20:I20"/>
    <mergeCell ref="B15:B16"/>
    <mergeCell ref="B7:B12"/>
    <mergeCell ref="A13:A14"/>
    <mergeCell ref="A15:A16"/>
    <mergeCell ref="B22:B27"/>
    <mergeCell ref="B3:B4"/>
    <mergeCell ref="B5:B6"/>
    <mergeCell ref="B13:B14"/>
    <mergeCell ref="A24:A25"/>
    <mergeCell ref="A26:A27"/>
    <mergeCell ref="A28:A29"/>
    <mergeCell ref="A30:A31"/>
    <mergeCell ref="A32:A33"/>
    <mergeCell ref="B28:B29"/>
    <mergeCell ref="B30:B35"/>
    <mergeCell ref="B36:B37"/>
    <mergeCell ref="B38:B39"/>
    <mergeCell ref="A34:A35"/>
    <mergeCell ref="A36:A37"/>
    <mergeCell ref="A38:A39"/>
  </mergeCells>
  <printOptions horizontalCentered="1" verticalCentered="1"/>
  <pageMargins left="0.25" right="0.25" top="0.25" bottom="0.25" header="0" footer="0"/>
  <pageSetup paperSize="5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Calendar-Sp24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</dc:creator>
  <cp:lastModifiedBy>Donald Hake II</cp:lastModifiedBy>
  <cp:lastPrinted>2024-04-06T14:25:24Z</cp:lastPrinted>
  <dcterms:created xsi:type="dcterms:W3CDTF">2016-12-30T22:56:49Z</dcterms:created>
  <dcterms:modified xsi:type="dcterms:W3CDTF">2024-04-06T14:56:43Z</dcterms:modified>
</cp:coreProperties>
</file>